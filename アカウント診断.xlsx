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<sst xmlns="http://schemas.openxmlformats.org/spreadsheetml/2006/main" count="97" uniqueCount="59">
  <si>
    <t>カテゴリ</t>
  </si>
  <si>
    <t>確認箇所</t>
  </si>
  <si>
    <t>項目</t>
  </si>
  <si>
    <t>備考</t>
  </si>
  <si>
    <t>スコア</t>
  </si>
  <si>
    <t>評価</t>
  </si>
  <si>
    <t>アカウント構造</t>
  </si>
  <si>
    <t>KW</t>
  </si>
  <si>
    <t>ADG間で配信しているKWに重複はないか</t>
  </si>
  <si>
    <t>4点：0%/3点：0~5%/2点：5~10%/1点：10~20%/0点：20%以上</t>
  </si>
  <si>
    <t>クエリ</t>
  </si>
  <si>
    <t>ADG間で配信されているクエリの重複率は20%未満か</t>
  </si>
  <si>
    <t>4点：20%未満/3点：20~30%/2点：30~40%/1点：40~50%/0点：50%以上</t>
  </si>
  <si>
    <t>クリエイティブ</t>
  </si>
  <si>
    <t>品質スコア6以上のKWコストシェアが60％以上か</t>
  </si>
  <si>
    <t>4点：60％以上/3点：50~60%/2点：40~50%/1点：20~40%/0点：20%未満</t>
  </si>
  <si>
    <t>広告の関連性が平均より上のKWコストシェアが60%以上か</t>
  </si>
  <si>
    <t>LPの利便性が平均より上のKWコストシェアが60%以上か</t>
  </si>
  <si>
    <t>推定CTRが平均より上のKWコストシェアが60%以上か</t>
  </si>
  <si>
    <t>広告文</t>
  </si>
  <si>
    <t>配信中の広告文は80%以上がユニークか</t>
  </si>
  <si>
    <t>4点：80％以上/3点：60~80%/2点：40~60%/1点：20~40%/0点：20%未満</t>
  </si>
  <si>
    <t>配信中のLPが複数種類設定されているか</t>
  </si>
  <si>
    <t>4点：3つ以上/2点：2つ/0点：1つ</t>
  </si>
  <si>
    <t>ターゲティング</t>
  </si>
  <si>
    <t>部分一致のコスト比率が60％以上か</t>
  </si>
  <si>
    <t>ADG</t>
  </si>
  <si>
    <t>コスト比率の10%以上をDSAが占めるか</t>
  </si>
  <si>
    <t>4点：10％以上/3点：7~10%/2点：4~7%/1点：0~4%/0点：0%</t>
  </si>
  <si>
    <t>コンバージョン上位の検索クエリをキーワード登録できているか</t>
  </si>
  <si>
    <t>4点：90％以上/3点：80~90%/2点：70~80%/1点：60~70%/0点：60%未満</t>
  </si>
  <si>
    <t>コスト化クエリ（全体CPAの1.5倍以上の費用で0CVもしくは全体CPAの2倍以上のクエリ）の割合が10%未満か</t>
  </si>
  <si>
    <t>4点：10%未満/3点：10~15%/2点：15~20%/1点：20~25%/0点：25%以上</t>
  </si>
  <si>
    <t>入札</t>
  </si>
  <si>
    <t>キャンペーン</t>
  </si>
  <si>
    <t>自動入札を使っているキャンペーンのコスト比率が80％以上か</t>
  </si>
  <si>
    <t>ポートフォリオ入札を使用しているキャンペーンのコスト比率が60%以上か</t>
  </si>
  <si>
    <t>tROASを活用できているADGのコスト比率が40%以上か</t>
  </si>
  <si>
    <t>4点：40％以上/3点：30~40%/2点：20~30%/1点：0~20%/0点：0%</t>
  </si>
  <si>
    <t>30CVs/月を担保できているADGのコスト比率が60％以上か</t>
  </si>
  <si>
    <t>管理</t>
  </si>
  <si>
    <t>インプレッション損失率が5％未満か</t>
  </si>
  <si>
    <t>4点：0~5%/3点：5~10%/2点：10~20%/1点：20~40%/0点：40%以上</t>
  </si>
  <si>
    <t>指名KWの上位IMP割合が90％以上か</t>
  </si>
  <si>
    <t>4点：90％以上/3点：85~90%/2点：80~85%/1点：75~80%/0点：75%未満</t>
  </si>
  <si>
    <t>デバイス</t>
  </si>
  <si>
    <t>デバイス成果に応じた予算配分ができているか</t>
  </si>
  <si>
    <t>4点：未実施ADGなし/3点：未実施のADGが30%以下/2点：未実施のADGが60%以下/1点：実施/0点：未実施</t>
  </si>
  <si>
    <t>変更履歴</t>
  </si>
  <si>
    <t>KW追加/除外を定期的に行えているか</t>
  </si>
  <si>
    <t>4点：12以上/3点：9~11/2点：6~8/1点：4~5/0点：3以下</t>
  </si>
  <si>
    <t>広告文PDCAを定期的に行えているか</t>
  </si>
  <si>
    <t>4点：6以上/3点：5/2点：4/1点：3/0点：2以下</t>
  </si>
  <si>
    <t>発展</t>
  </si>
  <si>
    <t>コンバージョン</t>
  </si>
  <si>
    <t>顧客データを自動入札に活用している</t>
  </si>
  <si>
    <t>4点：使用している/0点：使用なし</t>
  </si>
  <si>
    <t>ブランドコントロール機能を活用している</t>
  </si>
  <si>
    <t>4点：40％以上//2点：10~40%//0点：10%未満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</si>
</sst>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sz val="11.0"/>
      <color rgb="FFFFFFFF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0" fillId="0" fontId="1" numFmtId="3" xfId="0" applyAlignment="1" applyFont="1" applyNumberFormat="1">
      <alignment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shrinkToFit="0" vertical="bottom" wrapText="1"/>
    </xf>
    <xf borderId="1" fillId="2" fontId="2" numFmtId="0" xfId="0" applyAlignment="1" applyBorder="1" applyFont="1">
      <alignment vertical="bottom"/>
    </xf>
    <xf borderId="1" fillId="2" fontId="2" numFmtId="3" xfId="0" applyAlignment="1" applyBorder="1" applyFont="1" applyNumberForma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vertical="bottom"/>
    </xf>
    <xf borderId="1" fillId="0" fontId="3" numFmtId="10" xfId="0" applyAlignment="1" applyBorder="1" applyFont="1" applyNumberFormat="1">
      <alignment horizontal="right" vertical="bottom"/>
    </xf>
    <xf borderId="1" fillId="0" fontId="3" numFmtId="3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vertical="bottom"/>
    </xf>
    <xf borderId="1" fillId="3" fontId="1" numFmtId="0" xfId="0" applyAlignment="1" applyBorder="1" applyFill="1" applyFont="1">
      <alignment vertical="bottom"/>
    </xf>
    <xf borderId="1" fillId="3" fontId="1" numFmtId="10" xfId="0" applyAlignment="1" applyBorder="1" applyFont="1" applyNumberFormat="1">
      <alignment vertical="bottom"/>
    </xf>
    <xf borderId="1" fillId="3" fontId="3" numFmtId="3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  <col customWidth="1" min="2" max="2" width="45.38"/>
    <col customWidth="1" min="3" max="3" width="50.13"/>
    <col customWidth="1" min="4" max="4" width="49.0"/>
  </cols>
  <sheetData>
    <row r="1">
      <c r="A1" s="1"/>
      <c r="B1" s="1"/>
      <c r="C1" s="1"/>
      <c r="D1" s="1"/>
      <c r="E1" s="2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0</v>
      </c>
      <c r="B2" s="4" t="s">
        <v>1</v>
      </c>
      <c r="C2" s="5" t="s">
        <v>2</v>
      </c>
      <c r="D2" s="6" t="s">
        <v>3</v>
      </c>
      <c r="E2" s="6" t="s">
        <v>4</v>
      </c>
      <c r="F2" s="7" t="s">
        <v>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8" t="s">
        <v>6</v>
      </c>
      <c r="B3" s="8" t="s">
        <v>7</v>
      </c>
      <c r="C3" s="9" t="s">
        <v>8</v>
      </c>
      <c r="D3" s="10" t="s">
        <v>9</v>
      </c>
      <c r="E3" s="11" t="str">
        <f>SUMIFS(KWRaw!Q:Q,KWRaw!T:T,"&gt;1",KWRaw!S:S,"&lt;&gt;#NAME?")/SUM(KWRaw!Q:Q)</f>
        <v>#N/A</v>
      </c>
      <c r="F3" s="12" t="str">
        <f>IF(E3=0,4,IF(AND(E3&gt;0,E3&lt;=0.05),3,IF(AND(E3&gt;0.05,E3&lt;=0.1),2,IF(AND(E3&gt;0.1,E3&lt;=0.2),1,IF(E3&gt;0.2,0,"要確認")))))</f>
        <v>#N/A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8" t="s">
        <v>6</v>
      </c>
      <c r="B4" s="8" t="s">
        <v>10</v>
      </c>
      <c r="C4" s="9" t="s">
        <v>11</v>
      </c>
      <c r="D4" s="10" t="s">
        <v>12</v>
      </c>
      <c r="E4" s="11" t="str">
        <f>SUMIF('クエリRaw'!N:N,"&gt;=2",'クエリRaw'!K:K)/SUM('クエリRaw'!K:K)</f>
        <v>#N/A</v>
      </c>
      <c r="F4" s="12" t="str">
        <f>IF(E4&lt;0.2,4,IF(AND(E4&gt;=0.2,E4&lt;0.3),3,IF(AND(E4&gt;=0.3,E4&lt;0.4),2,IF(AND(E4&gt;=0.4,E4&lt;0.5),1,IF(E4&gt;=0.5,0,"要確認")))))</f>
        <v>#N/A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8" t="s">
        <v>13</v>
      </c>
      <c r="B5" s="8" t="s">
        <v>7</v>
      </c>
      <c r="C5" s="9" t="s">
        <v>14</v>
      </c>
      <c r="D5" s="10" t="s">
        <v>15</v>
      </c>
      <c r="E5" s="11" t="str">
        <f>SUMIF(KWRaw!H:H,"&gt;=6",KWRaw!Q:Q)/SUM(KWRaw!Q:Q)</f>
        <v>#N/A</v>
      </c>
      <c r="F5" s="12" t="str">
        <f t="shared" ref="F5:F8" si="1">IF(E5&gt;=0.6,4,IF(AND(E5&lt;0.6,E5&gt;=0.5),3,IF(AND(E5&lt;0.5,E5&gt;=0.4),2,IF(AND(E5&lt;0.4,E5&gt;=0.2),1,0))))</f>
        <v>#N/A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8" t="s">
        <v>13</v>
      </c>
      <c r="B6" s="8" t="s">
        <v>7</v>
      </c>
      <c r="C6" s="9" t="s">
        <v>16</v>
      </c>
      <c r="D6" s="10" t="s">
        <v>15</v>
      </c>
      <c r="E6" s="11" t="str">
        <f>SUMIF(KWRaw!I:I,"平均より上",KWRaw!Q:Q)/SUM(KWRaw!Q:Q)</f>
        <v>#N/A</v>
      </c>
      <c r="F6" s="12" t="str">
        <f t="shared" si="1"/>
        <v>#N/A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8" t="s">
        <v>13</v>
      </c>
      <c r="B7" s="8" t="s">
        <v>7</v>
      </c>
      <c r="C7" s="9" t="s">
        <v>17</v>
      </c>
      <c r="D7" s="10" t="s">
        <v>15</v>
      </c>
      <c r="E7" s="11" t="str">
        <f>SUMIF(KWRaw!J:J,"平均より上",KWRaw!Q:Q)/SUM(KWRaw!Q:Q)</f>
        <v>#N/A</v>
      </c>
      <c r="F7" s="12" t="str">
        <f t="shared" si="1"/>
        <v>#N/A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8" t="s">
        <v>13</v>
      </c>
      <c r="B8" s="8" t="s">
        <v>7</v>
      </c>
      <c r="C8" s="9" t="s">
        <v>18</v>
      </c>
      <c r="D8" s="10" t="s">
        <v>15</v>
      </c>
      <c r="E8" s="11" t="str">
        <f>SUMIF(KWRaw!K:K,"平均より上",KWRaw!Q:Q)/SUM(KWRaw!Q:Q)</f>
        <v>#N/A</v>
      </c>
      <c r="F8" s="12" t="str">
        <f t="shared" si="1"/>
        <v>#N/A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" t="s">
        <v>13</v>
      </c>
      <c r="B9" s="8" t="s">
        <v>19</v>
      </c>
      <c r="C9" s="10" t="s">
        <v>20</v>
      </c>
      <c r="D9" s="10" t="s">
        <v>21</v>
      </c>
      <c r="E9" s="11" t="str">
        <f t="array" ref="E9">(rows(UNIQUE('広告Raw'!H:AT))-1)/(COUNTIF('広告Raw'!A:A,"*")-1)</f>
        <v>#REF!</v>
      </c>
      <c r="F9" s="12" t="str">
        <f>IF(E9&gt;=0.8,4,IF(AND(E9&lt;0.8,E9&gt;=0.6),3,IF(AND(E9&lt;0.6,E9&gt;=0.4),2,IF(AND(E9&lt;0.4,E9&gt;=0.2),1,0))))</f>
        <v>#REF!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8" t="s">
        <v>13</v>
      </c>
      <c r="B10" s="8" t="s">
        <v>19</v>
      </c>
      <c r="C10" s="10" t="s">
        <v>22</v>
      </c>
      <c r="D10" s="10" t="s">
        <v>23</v>
      </c>
      <c r="E10" s="12" t="str">
        <f>IFERROR(__xludf.DUMMYFUNCTION("COUNTUNIQUEIFS('広告Raw'!D:D,'広告Raw'!CE:CE,""&gt;0"")"),"#N/A")</f>
        <v>#N/A</v>
      </c>
      <c r="F10" s="12" t="str">
        <f>IF(E10&gt;=3,4,IF(E10=2,2,0))</f>
        <v>#N/A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8" t="s">
        <v>24</v>
      </c>
      <c r="B11" s="8" t="s">
        <v>7</v>
      </c>
      <c r="C11" s="9" t="s">
        <v>25</v>
      </c>
      <c r="D11" s="10" t="s">
        <v>15</v>
      </c>
      <c r="E11" s="11" t="str">
        <f>SUMIFs(KWRaw!Q:Q,KWRaw!E:E,"インテント マッチ",KWRaw!C:C,"&lt;&gt;#NAME?")/SUM(KWRaw!Q:Q)</f>
        <v>#N/A</v>
      </c>
      <c r="F11" s="12" t="str">
        <f>IF(E11&gt;=0.6,4,IF(AND(E11&lt;0.6,E11&gt;=0.5),3,IF(AND(E11&lt;0.5,E11&gt;=0.4),2,IF(AND(E11&lt;0.4,E11&gt;=0.2),1,0))))</f>
        <v>#N/A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" t="s">
        <v>24</v>
      </c>
      <c r="B12" s="8" t="s">
        <v>26</v>
      </c>
      <c r="C12" s="10" t="s">
        <v>27</v>
      </c>
      <c r="D12" s="10" t="s">
        <v>28</v>
      </c>
      <c r="E12" s="11" t="str">
        <f>SUMIF(ADGRaw!I:I,"*動的広告*",ADGRaw!U:U)/SUM(ADGRaw!U:U)</f>
        <v>#N/A</v>
      </c>
      <c r="F12" s="12" t="str">
        <f>IF(E12&gt;=0.1,4,IF(AND(E12&lt;0.1,E12&gt;=0.07),3,IF(AND(E12&lt;0.07,E12&gt;=0.04),2,IF(AND(E12&lt;0.04,E12&gt;0),1,0))))</f>
        <v>#N/A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" t="s">
        <v>24</v>
      </c>
      <c r="B13" s="8" t="s">
        <v>10</v>
      </c>
      <c r="C13" s="10" t="s">
        <v>29</v>
      </c>
      <c r="D13" s="10" t="s">
        <v>30</v>
      </c>
      <c r="E13" s="11" t="str">
        <f>IFERROR(__xludf.DUMMYFUNCTION("(countif(SORTN('クエリRaw'!A:L,11,1,12,false),""*追加済み*"")-1)/(ROWS(SORTN('クエリRaw'!A:L,11,1,12,false))-1)"),"#REF!")</f>
        <v>#REF!</v>
      </c>
      <c r="F13" s="12" t="str">
        <f>IF(E13&gt;=0.9,4,IF(AND(E13&lt;0.9,E13&gt;=0.8),3,IF(AND(E13&lt;0.8,E13&gt;=0.7),2,IF(AND(E13&lt;0.7,E13&gt;=0.6),1,0))))</f>
        <v>#REF!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" t="s">
        <v>24</v>
      </c>
      <c r="B14" s="8" t="s">
        <v>10</v>
      </c>
      <c r="C14" s="10" t="s">
        <v>31</v>
      </c>
      <c r="D14" s="10" t="s">
        <v>32</v>
      </c>
      <c r="E14" s="11" t="str">
        <f>(SUMIFS('クエリRaw'!K:K,'クエリRaw'!L:L,"0",'クエリRaw'!K:K,"&gt;"&amp;(SUM('クエリRaw'!K:K)/SUM('クエリRaw'!L:L))*1.5)+sumif('クエリRaw'!M:M,"&gt;"&amp;SUM('クエリRaw'!K:K)/SUM('クエリRaw'!L:L)*2,'クエリRaw'!K:K))/SUM('クエリRaw'!K:K)</f>
        <v>#N/A</v>
      </c>
      <c r="F14" s="12" t="str">
        <f>IF(E14&lt;0.1,4,IF(AND(E14&gt;=0.1,E14&lt;0.15),3,IF(AND(E14&gt;=0.15,E14&lt;0.2),2,IF(AND(E14&gt;=0.2,E14&lt;0.25),1,0))))</f>
        <v>#N/A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8" t="s">
        <v>33</v>
      </c>
      <c r="B15" s="8" t="s">
        <v>34</v>
      </c>
      <c r="C15" s="9" t="s">
        <v>35</v>
      </c>
      <c r="D15" s="10" t="s">
        <v>21</v>
      </c>
      <c r="E15" s="11" t="str">
        <f>SUMIF(ADGRaw!H:H,"&lt;&gt;*クリック単価",ADGRaw!U:U)/SUM(ADGRaw!U:U)</f>
        <v>#N/A</v>
      </c>
      <c r="F15" s="12" t="str">
        <f>IF(E15&gt;=0.8,4,IF(AND(E15&lt;0.8,E15&gt;=0.6),3,IF(AND(E15&lt;0.6,E15&gt;=0.4),2,IF(AND(E15&lt;0.4,E15&gt;=0.2),1,0))))</f>
        <v>#N/A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8" t="s">
        <v>33</v>
      </c>
      <c r="B16" s="8" t="s">
        <v>34</v>
      </c>
      <c r="C16" s="9" t="s">
        <v>36</v>
      </c>
      <c r="D16" s="10" t="s">
        <v>15</v>
      </c>
      <c r="E16" s="11" t="str">
        <f>SUMIF(ADGRaw!J:J,"&lt;&gt;--",ADGRaw!U:U)/SUM(ADGRaw!U:U)</f>
        <v>#N/A</v>
      </c>
      <c r="F16" s="12" t="str">
        <f>IF(E16&gt;=0.6,4,IF(AND(E16&lt;0.6,E16&gt;=0.5),3,IF(AND(E16&lt;0.5,E16&gt;=0.4),2,IF(AND(E16&lt;0.4,E16&gt;=0.2),1,0))))</f>
        <v>#N/A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8" t="s">
        <v>33</v>
      </c>
      <c r="B17" s="8" t="s">
        <v>26</v>
      </c>
      <c r="C17" s="9" t="s">
        <v>37</v>
      </c>
      <c r="D17" s="10" t="s">
        <v>38</v>
      </c>
      <c r="E17" s="11" t="str">
        <f>SUMIF(ADGRaw!H:H,"目標広告費用対効果",ADGRaw!U:U)/SUM(ADGRaw!U:U)</f>
        <v>#N/A</v>
      </c>
      <c r="F17" s="12" t="str">
        <f>IF(E17&gt;=0.4,4,IF(AND(E17&lt;0.4,E17&gt;=0.3),3,IF(AND(E17&lt;0.3,E17&gt;=0.2),2,IF(AND(E17&lt;0.2,E17&gt;0),1,0))))</f>
        <v>#N/A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8" t="s">
        <v>33</v>
      </c>
      <c r="B18" s="8" t="s">
        <v>26</v>
      </c>
      <c r="C18" s="9" t="s">
        <v>39</v>
      </c>
      <c r="D18" s="10" t="s">
        <v>15</v>
      </c>
      <c r="E18" s="11" t="str">
        <f>SUMIF(ADGRaw!V:V,"&gt;=30",ADGRaw!U:U)/SUM(ADGRaw!U:U)</f>
        <v>#N/A</v>
      </c>
      <c r="F18" s="12" t="str">
        <f>IF(E18&gt;=0.6,4,IF(AND(E18&lt;0.6,E18&gt;=0.5),3,IF(AND(E18&lt;0.5,E18&gt;=0.4),2,IF(AND(E18&lt;0.4,E18&gt;=0.2),1,0))))</f>
        <v>#N/A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8" t="s">
        <v>40</v>
      </c>
      <c r="B19" s="8" t="s">
        <v>26</v>
      </c>
      <c r="C19" s="9" t="s">
        <v>41</v>
      </c>
      <c r="D19" s="10" t="s">
        <v>42</v>
      </c>
      <c r="E19" s="11" t="str">
        <f>SUMPRODUCT(CPRaw!F:F,CPRaw!G:G)/SUM(CPRaw!G:G)</f>
        <v>#REF!</v>
      </c>
      <c r="F19" s="12" t="str">
        <f>IF(E19&lt;0.05,4,IF(AND(E19&gt;=0.05,E19&lt;0.1),3,IF(AND(E19&gt;=0.1,E19&lt;0.2),2,IF(AND(E19&gt;=0.2,E19&lt;0.4),1,0))))</f>
        <v>#REF!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8" t="s">
        <v>40</v>
      </c>
      <c r="B20" s="8" t="s">
        <v>7</v>
      </c>
      <c r="C20" s="10" t="s">
        <v>43</v>
      </c>
      <c r="D20" s="10" t="s">
        <v>44</v>
      </c>
      <c r="E20" s="11" t="str">
        <f>SUMPRODUCT((KWRaw!G:G=Config!C3)+(KWRaw!G:G=Config!C4)+(KWRaw!G:G=Config!C5)+(KWRaw!G:G=Config!C6)+(KWRaw!G:G=Config!C7)+(KWRaw!G:G=Config!C8)+(KWRaw!G:G=Config!C9)+(KWRaw!G:G=Config!C10)+(KWRaw!G:G=Config!C11)+(KWRaw!G:G=Config!C12)+(KWRaw!G:G=Config!C13)+(KWRaw!G:G=Config!C14)+(KWRaw!G:G=Config!C15)+(KWRaw!G:G=Config!C16)+(KWRaw!G:G=Config!C17)+(KWRaw!G:G=Config!C18)+(KWRaw!G:G=Config!C19)+(KWRaw!G:G=Config!C20)+(KWRaw!G:G=Config!C21)+(KWRaw!G:G=Config!C22),KWRaw!N:N,KWRaw!M:M)/SUMPRODUCT((KWRaw!G:G=Config!C3)+(KWRaw!G:G=Config!C4)+(KWRaw!G:G=Config!C5)+(KWRaw!G:G=Config!C6)+(KWRaw!G:G=Config!C7)+(KWRaw!G:G=Config!C8)+(KWRaw!G:G=Config!C9)+(KWRaw!G:G=Config!C10)+(KWRaw!G:G=Config!C11)+(KWRaw!G:G=Config!C12)+(KWRaw!G:G=Config!C13)+(KWRaw!G:G=Config!C14)+(KWRaw!G:G=Config!C15)+(KWRaw!G:G=Config!C16)+(KWRaw!G:G=Config!C17)+(KWRaw!G:G=Config!C18)+(KWRaw!G:G=Config!C19)+(KWRaw!G:G=Config!C20)+(KWRaw!G:G=Config!C21)+(KWRaw!G:G=Config!C22),KWRaw!N:N)</f>
        <v>#REF!</v>
      </c>
      <c r="F20" s="12" t="str">
        <f>IF(E20&gt;=0.9,4,IF(AND(E20&lt;0.9,E20&gt;=0.85),3,IF(AND(E20&lt;0.85,E20&gt;=0.8),2,IF(AND(E20&lt;0.5,E20&gt;=0.75),1,0))))</f>
        <v>#REF!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8" t="s">
        <v>40</v>
      </c>
      <c r="B21" s="8" t="s">
        <v>45</v>
      </c>
      <c r="C21" s="10" t="s">
        <v>46</v>
      </c>
      <c r="D21" s="10" t="s">
        <v>47</v>
      </c>
      <c r="E21" s="11" t="str">
        <f>SUMIFS(ADGRaw!U:U,ADGRaw!L:L,"--",ADGRaw!M:M,"--",ADGRaw!N:N,"--",ADGRaw!O:O,"--",ADGRaw!P:P,"--",ADGRaw!Q:Q,"--")/SUM(ADGRaw!U:U)</f>
        <v>#N/A</v>
      </c>
      <c r="F21" s="12" t="str">
        <f>IF(E21=0,4,IF(AND(E21&gt;0,E21&lt;=0.3),3,IF(AND(E21&gt;0.3,E21&lt;=0.6),2,IF(AND(E21&gt;0.6,E21&lt;1),1,0))))</f>
        <v>#N/A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8" t="s">
        <v>40</v>
      </c>
      <c r="B22" s="8" t="s">
        <v>48</v>
      </c>
      <c r="C22" s="10" t="s">
        <v>49</v>
      </c>
      <c r="D22" s="10" t="s">
        <v>50</v>
      </c>
      <c r="E22" s="12" t="str">
        <f>IFERROR(__xludf.DUMMYFUNCTION("COUNTUNIQUEIFS('変更履歴Raw(過去半年)'!G:G,'変更履歴Raw(過去半年)'!C:C,""&lt;&gt;Recommendations Auto-Apply"",'変更履歴Raw(過去半年)'!F:F,""*キーワード*"")"),"#N/A")</f>
        <v>#N/A</v>
      </c>
      <c r="F22" s="12" t="str">
        <f>IF(E22&gt;=12,4,IF(AND(E22&lt;=11,E22&gt;=9),3,IF(AND(E22&lt;=8,E22&gt;=6),2,IF(AND(E22&lt;=5,E22&gt;=4),1,0))))</f>
        <v>#N/A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8" t="s">
        <v>40</v>
      </c>
      <c r="B23" s="8" t="s">
        <v>48</v>
      </c>
      <c r="C23" s="10" t="s">
        <v>51</v>
      </c>
      <c r="D23" s="10" t="s">
        <v>52</v>
      </c>
      <c r="E23" s="12" t="str">
        <f>IFERROR(__xludf.DUMMYFUNCTION("COUNTUNIQUEIFS('変更履歴Raw(過去半年)'!G:G,'変更履歴Raw(過去半年)'!C:C,""&lt;&gt;Recommendations Auto-Apply"",'変更履歴Raw(過去半年)'!F:F,""*レスポンシブ検索*"")"),"#N/A")</f>
        <v>#N/A</v>
      </c>
      <c r="F23" s="12" t="str">
        <f>IF(E23&gt;=6,4,IF(E23=5,3,IF(E23=4,2,IF(E23=3,1,0))))</f>
        <v>#N/A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8" t="s">
        <v>53</v>
      </c>
      <c r="B24" s="8" t="s">
        <v>54</v>
      </c>
      <c r="C24" s="10" t="s">
        <v>55</v>
      </c>
      <c r="D24" s="10" t="s">
        <v>56</v>
      </c>
      <c r="E24" s="12" t="str">
        <f>COUNTIF('CV発生元Raw'!C:C,"*インポート*")</f>
        <v>#REF!</v>
      </c>
      <c r="F24" s="12" t="str">
        <f>IF(E24&gt;=1,4,0)</f>
        <v>#REF!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8" t="s">
        <v>53</v>
      </c>
      <c r="B25" s="13"/>
      <c r="C25" s="10" t="s">
        <v>57</v>
      </c>
      <c r="D25" s="10" t="s">
        <v>58</v>
      </c>
      <c r="E25" s="11" t="str">
        <f>SUMPRODUCT((KWRaw!G:G=Config!C3)+(KWRaw!G:G=Config!C4)+(KWRaw!G:G=Config!C5)+(KWRaw!G:G=Config!C6)+(KWRaw!G:G=Config!C7)+(KWRaw!G:G=Config!C8)+(KWRaw!G:G=Config!C9)+(KWRaw!G:G=Config!C10)+(KWRaw!G:G=Config!C11)+(KWRaw!G:G=Config!C12)+(KWRaw!G:G=Config!C13)+(KWRaw!G:G=Config!C14)+(KWRaw!G:G=Config!C15)+(KWRaw!G:G=Config!C16)+(KWRaw!G:G=Config!C17)+(KWRaw!G:G=Config!C18)+(KWRaw!G:G=Config!C19)+(KWRaw!G:G=Config!C20)+(KWRaw!G:G=Config!C21)+(KWRaw!G:G=Config!C22),KWRaw!E:E="部分一致",KWRaw!Q:Q)/SUMPRODUCT((KWRaw!G:G=Config!C3)+(KWRaw!G:G=Config!C4)+(KWRaw!G:G=Config!C5)+(KWRaw!G:G=Config!C6)+(KWRaw!G:G=Config!C7)+(KWRaw!G:G=Config!C8)+(KWRaw!G:G=Config!C9)+(KWRaw!G:G=Config!C10)+(KWRaw!G:G=Config!C11)+(KWRaw!G:G=Config!C12)+(KWRaw!G:G=Config!C13)+(KWRaw!G:G=Config!C14)+(KWRaw!G:G=Config!C15)+(KWRaw!G:G=Config!C16)+(KWRaw!G:G=Config!C17)+(KWRaw!G:G=Config!C18)+(KWRaw!G:G=Config!C19)+(KWRaw!G:G=Config!C20)+(KWRaw!G:G=Config!C21)+(KWRaw!G:G=Config!C22),KWRaw!Q:Q)</f>
        <v>#REF!</v>
      </c>
      <c r="F25" s="12" t="str">
        <f>IF(E25&gt;=0.4,4,IF(AND(E25&lt;0.4,E25&gt;=0.1),2,0))</f>
        <v>#REF!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4"/>
      <c r="B26" s="14"/>
      <c r="C26" s="14"/>
      <c r="D26" s="14"/>
      <c r="E26" s="15"/>
      <c r="F26" s="16" t="str">
        <f>SUM(F3:F25)&amp;"/"&amp;(100-COUNTIF(F3:F25,"要確認")*4)&amp;"点"</f>
        <v>#N/A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2"/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2"/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2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2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2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2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2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2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2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2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2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2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2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2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2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2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2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2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2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2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2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2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2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2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2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2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2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2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2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2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2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2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2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2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2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2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2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2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2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2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2"/>
      <c r="F67" s="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2"/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2"/>
      <c r="F69" s="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2"/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2"/>
      <c r="F71" s="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2"/>
      <c r="F72" s="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2"/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2"/>
      <c r="F74" s="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2"/>
      <c r="F75" s="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2"/>
      <c r="F76" s="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2"/>
      <c r="F77" s="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2"/>
      <c r="F78" s="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2"/>
      <c r="F79" s="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2"/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2"/>
      <c r="F81" s="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2"/>
      <c r="F82" s="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2"/>
      <c r="F83" s="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2"/>
      <c r="F84" s="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2"/>
      <c r="F85" s="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2"/>
      <c r="F86" s="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2"/>
      <c r="F87" s="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2"/>
      <c r="F88" s="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2"/>
      <c r="F89" s="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2"/>
      <c r="F90" s="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2"/>
      <c r="F91" s="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2"/>
      <c r="F92" s="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2"/>
      <c r="F93" s="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2"/>
      <c r="F94" s="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2"/>
      <c r="F95" s="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2"/>
      <c r="F96" s="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2"/>
      <c r="F97" s="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2"/>
      <c r="F98" s="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2"/>
      <c r="F99" s="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2"/>
      <c r="F100" s="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2"/>
      <c r="F101" s="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2"/>
      <c r="F102" s="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2"/>
      <c r="F103" s="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2"/>
      <c r="F104" s="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2"/>
      <c r="F105" s="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2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2"/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2"/>
      <c r="F108" s="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2"/>
      <c r="F109" s="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2"/>
      <c r="F110" s="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2"/>
      <c r="F111" s="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2"/>
      <c r="F112" s="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2"/>
      <c r="F113" s="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2"/>
      <c r="F114" s="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2"/>
      <c r="F115" s="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2"/>
      <c r="F116" s="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2"/>
      <c r="F117" s="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2"/>
      <c r="F118" s="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2"/>
      <c r="F119" s="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2"/>
      <c r="F120" s="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2"/>
      <c r="F121" s="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2"/>
      <c r="F122" s="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2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2"/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2"/>
      <c r="F125" s="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2"/>
      <c r="F126" s="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2"/>
      <c r="F127" s="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2"/>
      <c r="F128" s="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2"/>
      <c r="F129" s="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2"/>
      <c r="F130" s="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2"/>
      <c r="F131" s="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2"/>
      <c r="F132" s="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2"/>
      <c r="F133" s="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2"/>
      <c r="F134" s="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2"/>
      <c r="F135" s="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2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2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2"/>
      <c r="F138" s="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2"/>
      <c r="F139" s="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2"/>
      <c r="F140" s="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2"/>
      <c r="F141" s="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2"/>
      <c r="F142" s="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2"/>
      <c r="F143" s="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2"/>
      <c r="F144" s="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2"/>
      <c r="F145" s="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2"/>
      <c r="F146" s="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2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2"/>
      <c r="F148" s="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2"/>
      <c r="F149" s="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2"/>
      <c r="F150" s="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2"/>
      <c r="F151" s="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2"/>
      <c r="F152" s="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2"/>
      <c r="F153" s="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2"/>
      <c r="F154" s="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2"/>
      <c r="F155" s="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2"/>
      <c r="F156" s="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2"/>
      <c r="F157" s="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2"/>
      <c r="F158" s="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2"/>
      <c r="F159" s="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2"/>
      <c r="F160" s="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2"/>
      <c r="F161" s="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2"/>
      <c r="F162" s="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2"/>
      <c r="F163" s="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2"/>
      <c r="F164" s="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2"/>
      <c r="F165" s="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2"/>
      <c r="F166" s="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2"/>
      <c r="F167" s="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2"/>
      <c r="F168" s="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2"/>
      <c r="F169" s="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2"/>
      <c r="F170" s="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2"/>
      <c r="F171" s="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2"/>
      <c r="F172" s="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2"/>
      <c r="F173" s="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2"/>
      <c r="F174" s="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2"/>
      <c r="F175" s="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2"/>
      <c r="F176" s="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2"/>
      <c r="F177" s="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2"/>
      <c r="F178" s="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2"/>
      <c r="F179" s="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2"/>
      <c r="F180" s="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2"/>
      <c r="F181" s="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2"/>
      <c r="F182" s="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2"/>
      <c r="F183" s="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2"/>
      <c r="F184" s="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2"/>
      <c r="F185" s="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2"/>
      <c r="F186" s="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2"/>
      <c r="F187" s="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2"/>
      <c r="F188" s="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2"/>
      <c r="F189" s="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2"/>
      <c r="F190" s="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2"/>
      <c r="F191" s="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2"/>
      <c r="F192" s="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2"/>
      <c r="F193" s="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2"/>
      <c r="F194" s="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2"/>
      <c r="F195" s="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2"/>
      <c r="F196" s="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2"/>
      <c r="F197" s="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2"/>
      <c r="F198" s="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2"/>
      <c r="F199" s="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2"/>
      <c r="F200" s="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2"/>
      <c r="F201" s="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2"/>
      <c r="F202" s="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2"/>
      <c r="F203" s="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2"/>
      <c r="F204" s="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2"/>
      <c r="F205" s="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2"/>
      <c r="F206" s="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2"/>
      <c r="F207" s="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2"/>
      <c r="F208" s="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2"/>
      <c r="F209" s="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2"/>
      <c r="F210" s="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2"/>
      <c r="F211" s="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2"/>
      <c r="F212" s="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2"/>
      <c r="F213" s="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2"/>
      <c r="F214" s="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2"/>
      <c r="F215" s="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2"/>
      <c r="F216" s="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2"/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2"/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2"/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2"/>
      <c r="F220" s="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2"/>
      <c r="F221" s="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2"/>
      <c r="F222" s="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2"/>
      <c r="F223" s="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2"/>
      <c r="F224" s="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2"/>
      <c r="F225" s="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2"/>
      <c r="F226" s="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2"/>
      <c r="F227" s="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2"/>
      <c r="F228" s="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2"/>
      <c r="F229" s="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2"/>
      <c r="F230" s="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2"/>
      <c r="F231" s="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2"/>
      <c r="F232" s="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2"/>
      <c r="F233" s="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2"/>
      <c r="F234" s="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2"/>
      <c r="F235" s="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2"/>
      <c r="F236" s="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2"/>
      <c r="F237" s="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2"/>
      <c r="F238" s="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2"/>
      <c r="F239" s="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2"/>
      <c r="F240" s="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2"/>
      <c r="F241" s="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2"/>
      <c r="F242" s="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2"/>
      <c r="F243" s="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2"/>
      <c r="F244" s="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2"/>
      <c r="F245" s="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2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2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2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2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2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2"/>
      <c r="F251" s="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2"/>
      <c r="F252" s="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2"/>
      <c r="F253" s="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2"/>
      <c r="F254" s="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2"/>
      <c r="F255" s="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2"/>
      <c r="F256" s="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2"/>
      <c r="F257" s="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2"/>
      <c r="F258" s="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2"/>
      <c r="F259" s="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2"/>
      <c r="F260" s="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2"/>
      <c r="F261" s="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2"/>
      <c r="F262" s="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2"/>
      <c r="F263" s="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2"/>
      <c r="F264" s="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2"/>
      <c r="F265" s="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2"/>
      <c r="F266" s="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2"/>
      <c r="F267" s="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2"/>
      <c r="F268" s="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2"/>
      <c r="F269" s="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2"/>
      <c r="F270" s="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2"/>
      <c r="F271" s="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2"/>
      <c r="F272" s="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2"/>
      <c r="F273" s="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2"/>
      <c r="F274" s="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2"/>
      <c r="F275" s="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2"/>
      <c r="F276" s="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2"/>
      <c r="F277" s="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2"/>
      <c r="F278" s="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2"/>
      <c r="F279" s="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2"/>
      <c r="F280" s="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2"/>
      <c r="F281" s="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2"/>
      <c r="F282" s="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2"/>
      <c r="F283" s="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2"/>
      <c r="F284" s="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2"/>
      <c r="F285" s="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2"/>
      <c r="F286" s="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2"/>
      <c r="F287" s="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2"/>
      <c r="F288" s="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2"/>
      <c r="F289" s="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2"/>
      <c r="F290" s="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2"/>
      <c r="F291" s="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2"/>
      <c r="F292" s="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2"/>
      <c r="F293" s="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2"/>
      <c r="F294" s="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2"/>
      <c r="F295" s="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2"/>
      <c r="F296" s="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2"/>
      <c r="F297" s="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2"/>
      <c r="F298" s="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2"/>
      <c r="F299" s="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2"/>
      <c r="F300" s="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2"/>
      <c r="F301" s="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2"/>
      <c r="F302" s="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2"/>
      <c r="F303" s="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2"/>
      <c r="F304" s="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2"/>
      <c r="F305" s="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2"/>
      <c r="F306" s="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2"/>
      <c r="F307" s="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2"/>
      <c r="F308" s="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2"/>
      <c r="F309" s="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2"/>
      <c r="F310" s="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2"/>
      <c r="F311" s="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2"/>
      <c r="F312" s="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2"/>
      <c r="F313" s="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2"/>
      <c r="F314" s="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2"/>
      <c r="F315" s="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2"/>
      <c r="F316" s="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2"/>
      <c r="F317" s="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2"/>
      <c r="F318" s="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2"/>
      <c r="F319" s="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2"/>
      <c r="F320" s="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2"/>
      <c r="F321" s="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2"/>
      <c r="F322" s="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2"/>
      <c r="F323" s="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2"/>
      <c r="F324" s="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2"/>
      <c r="F325" s="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2"/>
      <c r="F326" s="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2"/>
      <c r="F327" s="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2"/>
      <c r="F328" s="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2"/>
      <c r="F329" s="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2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2"/>
      <c r="F331" s="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2"/>
      <c r="F332" s="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2"/>
      <c r="F333" s="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2"/>
      <c r="F334" s="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2"/>
      <c r="F335" s="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2"/>
      <c r="F336" s="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2"/>
      <c r="F337" s="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2"/>
      <c r="F338" s="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2"/>
      <c r="F339" s="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2"/>
      <c r="F340" s="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2"/>
      <c r="F341" s="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2"/>
      <c r="F342" s="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2"/>
      <c r="F343" s="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2"/>
      <c r="F344" s="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2"/>
      <c r="F345" s="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2"/>
      <c r="F346" s="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2"/>
      <c r="F347" s="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2"/>
      <c r="F348" s="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2"/>
      <c r="F349" s="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2"/>
      <c r="F350" s="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2"/>
      <c r="F351" s="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2"/>
      <c r="F352" s="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2"/>
      <c r="F353" s="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2"/>
      <c r="F354" s="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2"/>
      <c r="F355" s="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2"/>
      <c r="F356" s="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2"/>
      <c r="F357" s="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2"/>
      <c r="F358" s="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2"/>
      <c r="F359" s="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2"/>
      <c r="F360" s="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2"/>
      <c r="F361" s="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2"/>
      <c r="F362" s="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2"/>
      <c r="F363" s="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2"/>
      <c r="F364" s="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2"/>
      <c r="F365" s="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2"/>
      <c r="F366" s="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2"/>
      <c r="F367" s="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2"/>
      <c r="F368" s="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2"/>
      <c r="F369" s="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2"/>
      <c r="F370" s="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2"/>
      <c r="F371" s="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2"/>
      <c r="F372" s="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2"/>
      <c r="F373" s="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2"/>
      <c r="F374" s="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2"/>
      <c r="F375" s="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2"/>
      <c r="F376" s="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2"/>
      <c r="F377" s="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2"/>
      <c r="F378" s="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2"/>
      <c r="F379" s="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2"/>
      <c r="F380" s="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2"/>
      <c r="F381" s="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2"/>
      <c r="F382" s="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2"/>
      <c r="F383" s="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2"/>
      <c r="F384" s="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2"/>
      <c r="F385" s="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2"/>
      <c r="F386" s="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2"/>
      <c r="F387" s="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2"/>
      <c r="F388" s="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2"/>
      <c r="F389" s="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2"/>
      <c r="F390" s="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2"/>
      <c r="F391" s="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2"/>
      <c r="F392" s="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2"/>
      <c r="F393" s="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2"/>
      <c r="F394" s="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2"/>
      <c r="F395" s="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2"/>
      <c r="F396" s="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2"/>
      <c r="F397" s="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2"/>
      <c r="F398" s="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2"/>
      <c r="F399" s="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2"/>
      <c r="F400" s="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2"/>
      <c r="F401" s="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2"/>
      <c r="F402" s="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2"/>
      <c r="F403" s="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2"/>
      <c r="F404" s="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2"/>
      <c r="F405" s="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2"/>
      <c r="F406" s="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2"/>
      <c r="F407" s="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2"/>
      <c r="F408" s="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2"/>
      <c r="F409" s="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2"/>
      <c r="F410" s="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2"/>
      <c r="F411" s="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2"/>
      <c r="F412" s="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2"/>
      <c r="F413" s="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2"/>
      <c r="F414" s="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2"/>
      <c r="F415" s="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2"/>
      <c r="F416" s="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2"/>
      <c r="F417" s="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2"/>
      <c r="F418" s="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2"/>
      <c r="F419" s="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2"/>
      <c r="F420" s="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2"/>
      <c r="F421" s="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2"/>
      <c r="F422" s="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2"/>
      <c r="F423" s="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2"/>
      <c r="F424" s="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2"/>
      <c r="F425" s="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2"/>
      <c r="F426" s="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2"/>
      <c r="F427" s="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2"/>
      <c r="F428" s="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2"/>
      <c r="F429" s="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2"/>
      <c r="F430" s="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2"/>
      <c r="F431" s="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2"/>
      <c r="F432" s="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2"/>
      <c r="F433" s="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2"/>
      <c r="F434" s="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2"/>
      <c r="F435" s="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2"/>
      <c r="F436" s="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2"/>
      <c r="F437" s="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2"/>
      <c r="F438" s="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2"/>
      <c r="F439" s="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2"/>
      <c r="F440" s="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2"/>
      <c r="F441" s="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2"/>
      <c r="F442" s="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2"/>
      <c r="F443" s="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2"/>
      <c r="F444" s="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2"/>
      <c r="F445" s="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2"/>
      <c r="F446" s="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2"/>
      <c r="F447" s="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2"/>
      <c r="F448" s="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2"/>
      <c r="F449" s="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2"/>
      <c r="F450" s="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2"/>
      <c r="F451" s="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2"/>
      <c r="F452" s="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2"/>
      <c r="F453" s="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2"/>
      <c r="F454" s="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2"/>
      <c r="F455" s="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2"/>
      <c r="F456" s="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2"/>
      <c r="F457" s="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2"/>
      <c r="F458" s="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2"/>
      <c r="F459" s="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2"/>
      <c r="F460" s="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2"/>
      <c r="F461" s="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2"/>
      <c r="F462" s="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2"/>
      <c r="F463" s="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2"/>
      <c r="F464" s="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2"/>
      <c r="F465" s="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2"/>
      <c r="F466" s="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2"/>
      <c r="F467" s="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2"/>
      <c r="F468" s="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2"/>
      <c r="F469" s="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2"/>
      <c r="F470" s="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2"/>
      <c r="F471" s="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2"/>
      <c r="F472" s="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2"/>
      <c r="F473" s="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2"/>
      <c r="F474" s="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2"/>
      <c r="F475" s="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2"/>
      <c r="F476" s="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2"/>
      <c r="F477" s="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2"/>
      <c r="F478" s="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2"/>
      <c r="F479" s="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2"/>
      <c r="F480" s="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2"/>
      <c r="F481" s="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2"/>
      <c r="F482" s="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2"/>
      <c r="F483" s="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2"/>
      <c r="F484" s="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2"/>
      <c r="F485" s="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2"/>
      <c r="F486" s="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2"/>
      <c r="F487" s="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2"/>
      <c r="F488" s="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2"/>
      <c r="F489" s="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2"/>
      <c r="F490" s="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2"/>
      <c r="F491" s="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2"/>
      <c r="F492" s="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2"/>
      <c r="F493" s="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2"/>
      <c r="F494" s="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2"/>
      <c r="F495" s="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2"/>
      <c r="F496" s="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2"/>
      <c r="F497" s="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2"/>
      <c r="F498" s="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2"/>
      <c r="F499" s="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2"/>
      <c r="F500" s="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2"/>
      <c r="F501" s="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2"/>
      <c r="F502" s="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2"/>
      <c r="F503" s="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2"/>
      <c r="F504" s="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2"/>
      <c r="F505" s="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2"/>
      <c r="F506" s="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2"/>
      <c r="F507" s="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2"/>
      <c r="F508" s="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2"/>
      <c r="F509" s="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2"/>
      <c r="F510" s="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2"/>
      <c r="F511" s="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2"/>
      <c r="F512" s="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2"/>
      <c r="F513" s="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2"/>
      <c r="F514" s="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2"/>
      <c r="F515" s="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2"/>
      <c r="F516" s="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2"/>
      <c r="F517" s="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2"/>
      <c r="F518" s="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2"/>
      <c r="F519" s="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2"/>
      <c r="F520" s="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2"/>
      <c r="F521" s="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2"/>
      <c r="F522" s="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2"/>
      <c r="F523" s="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2"/>
      <c r="F524" s="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2"/>
      <c r="F525" s="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2"/>
      <c r="F526" s="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2"/>
      <c r="F527" s="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2"/>
      <c r="F528" s="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2"/>
      <c r="F529" s="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2"/>
      <c r="F530" s="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2"/>
      <c r="F531" s="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2"/>
      <c r="F532" s="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2"/>
      <c r="F533" s="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2"/>
      <c r="F534" s="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2"/>
      <c r="F535" s="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2"/>
      <c r="F536" s="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2"/>
      <c r="F537" s="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2"/>
      <c r="F538" s="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2"/>
      <c r="F539" s="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2"/>
      <c r="F540" s="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2"/>
      <c r="F541" s="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2"/>
      <c r="F542" s="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2"/>
      <c r="F543" s="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2"/>
      <c r="F544" s="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2"/>
      <c r="F545" s="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2"/>
      <c r="F546" s="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2"/>
      <c r="F547" s="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2"/>
      <c r="F548" s="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2"/>
      <c r="F549" s="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2"/>
      <c r="F550" s="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2"/>
      <c r="F551" s="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2"/>
      <c r="F552" s="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2"/>
      <c r="F553" s="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2"/>
      <c r="F554" s="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2"/>
      <c r="F555" s="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2"/>
      <c r="F556" s="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2"/>
      <c r="F557" s="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2"/>
      <c r="F558" s="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2"/>
      <c r="F559" s="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2"/>
      <c r="F560" s="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2"/>
      <c r="F561" s="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2"/>
      <c r="F562" s="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2"/>
      <c r="F563" s="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2"/>
      <c r="F564" s="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2"/>
      <c r="F565" s="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2"/>
      <c r="F566" s="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2"/>
      <c r="F567" s="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2"/>
      <c r="F568" s="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2"/>
      <c r="F569" s="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2"/>
      <c r="F570" s="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2"/>
      <c r="F571" s="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2"/>
      <c r="F572" s="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2"/>
      <c r="F573" s="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2"/>
      <c r="F574" s="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2"/>
      <c r="F575" s="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2"/>
      <c r="F576" s="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2"/>
      <c r="F577" s="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2"/>
      <c r="F578" s="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2"/>
      <c r="F579" s="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2"/>
      <c r="F580" s="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2"/>
      <c r="F581" s="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2"/>
      <c r="F582" s="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2"/>
      <c r="F583" s="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2"/>
      <c r="F584" s="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2"/>
      <c r="F585" s="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2"/>
      <c r="F586" s="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2"/>
      <c r="F587" s="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2"/>
      <c r="F588" s="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2"/>
      <c r="F589" s="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2"/>
      <c r="F590" s="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2"/>
      <c r="F591" s="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2"/>
      <c r="F592" s="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2"/>
      <c r="F593" s="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2"/>
      <c r="F594" s="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2"/>
      <c r="F595" s="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2"/>
      <c r="F596" s="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2"/>
      <c r="F597" s="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2"/>
      <c r="F598" s="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2"/>
      <c r="F599" s="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2"/>
      <c r="F600" s="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2"/>
      <c r="F601" s="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2"/>
      <c r="F602" s="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2"/>
      <c r="F603" s="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2"/>
      <c r="F604" s="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2"/>
      <c r="F605" s="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2"/>
      <c r="F606" s="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2"/>
      <c r="F607" s="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2"/>
      <c r="F608" s="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2"/>
      <c r="F609" s="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2"/>
      <c r="F610" s="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2"/>
      <c r="F611" s="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2"/>
      <c r="F612" s="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2"/>
      <c r="F613" s="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2"/>
      <c r="F614" s="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2"/>
      <c r="F615" s="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2"/>
      <c r="F616" s="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2"/>
      <c r="F617" s="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2"/>
      <c r="F618" s="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2"/>
      <c r="F619" s="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2"/>
      <c r="F620" s="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2"/>
      <c r="F621" s="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2"/>
      <c r="F622" s="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2"/>
      <c r="F623" s="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2"/>
      <c r="F624" s="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2"/>
      <c r="F625" s="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2"/>
      <c r="F626" s="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2"/>
      <c r="F627" s="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2"/>
      <c r="F628" s="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2"/>
      <c r="F629" s="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2"/>
      <c r="F630" s="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2"/>
      <c r="F631" s="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2"/>
      <c r="F632" s="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2"/>
      <c r="F633" s="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2"/>
      <c r="F634" s="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2"/>
      <c r="F635" s="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2"/>
      <c r="F636" s="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2"/>
      <c r="F637" s="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2"/>
      <c r="F638" s="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2"/>
      <c r="F639" s="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2"/>
      <c r="F640" s="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2"/>
      <c r="F641" s="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2"/>
      <c r="F642" s="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2"/>
      <c r="F643" s="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2"/>
      <c r="F644" s="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2"/>
      <c r="F645" s="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2"/>
      <c r="F646" s="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2"/>
      <c r="F647" s="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2"/>
      <c r="F648" s="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2"/>
      <c r="F649" s="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2"/>
      <c r="F650" s="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2"/>
      <c r="F651" s="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2"/>
      <c r="F652" s="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2"/>
      <c r="F653" s="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2"/>
      <c r="F654" s="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2"/>
      <c r="F655" s="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2"/>
      <c r="F656" s="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2"/>
      <c r="F657" s="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2"/>
      <c r="F658" s="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2"/>
      <c r="F659" s="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2"/>
      <c r="F660" s="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2"/>
      <c r="F661" s="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2"/>
      <c r="F662" s="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2"/>
      <c r="F663" s="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2"/>
      <c r="F664" s="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2"/>
      <c r="F665" s="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2"/>
      <c r="F666" s="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2"/>
      <c r="F667" s="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2"/>
      <c r="F668" s="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2"/>
      <c r="F669" s="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2"/>
      <c r="F670" s="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2"/>
      <c r="F671" s="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2"/>
      <c r="F672" s="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2"/>
      <c r="F673" s="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2"/>
      <c r="F674" s="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2"/>
      <c r="F675" s="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2"/>
      <c r="F676" s="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2"/>
      <c r="F677" s="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2"/>
      <c r="F678" s="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2"/>
      <c r="F679" s="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2"/>
      <c r="F680" s="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2"/>
      <c r="F681" s="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2"/>
      <c r="F682" s="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2"/>
      <c r="F683" s="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2"/>
      <c r="F684" s="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2"/>
      <c r="F685" s="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2"/>
      <c r="F686" s="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2"/>
      <c r="F687" s="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2"/>
      <c r="F688" s="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2"/>
      <c r="F689" s="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2"/>
      <c r="F690" s="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2"/>
      <c r="F691" s="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2"/>
      <c r="F692" s="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2"/>
      <c r="F693" s="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2"/>
      <c r="F694" s="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2"/>
      <c r="F695" s="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2"/>
      <c r="F696" s="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2"/>
      <c r="F697" s="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2"/>
      <c r="F698" s="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2"/>
      <c r="F699" s="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2"/>
      <c r="F700" s="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2"/>
      <c r="F701" s="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2"/>
      <c r="F702" s="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2"/>
      <c r="F703" s="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2"/>
      <c r="F704" s="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2"/>
      <c r="F705" s="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2"/>
      <c r="F706" s="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2"/>
      <c r="F707" s="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2"/>
      <c r="F708" s="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2"/>
      <c r="F709" s="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2"/>
      <c r="F710" s="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2"/>
      <c r="F711" s="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2"/>
      <c r="F712" s="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2"/>
      <c r="F713" s="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2"/>
      <c r="F714" s="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2"/>
      <c r="F715" s="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2"/>
      <c r="F716" s="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2"/>
      <c r="F717" s="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2"/>
      <c r="F718" s="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2"/>
      <c r="F719" s="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2"/>
      <c r="F720" s="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2"/>
      <c r="F721" s="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2"/>
      <c r="F722" s="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2"/>
      <c r="F723" s="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2"/>
      <c r="F724" s="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2"/>
      <c r="F725" s="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2"/>
      <c r="F726" s="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2"/>
      <c r="F727" s="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2"/>
      <c r="F728" s="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2"/>
      <c r="F729" s="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2"/>
      <c r="F730" s="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2"/>
      <c r="F731" s="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2"/>
      <c r="F732" s="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2"/>
      <c r="F733" s="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2"/>
      <c r="F734" s="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2"/>
      <c r="F735" s="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2"/>
      <c r="F736" s="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2"/>
      <c r="F737" s="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2"/>
      <c r="F738" s="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2"/>
      <c r="F739" s="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2"/>
      <c r="F740" s="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2"/>
      <c r="F741" s="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2"/>
      <c r="F742" s="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2"/>
      <c r="F743" s="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2"/>
      <c r="F744" s="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2"/>
      <c r="F745" s="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2"/>
      <c r="F746" s="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2"/>
      <c r="F747" s="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2"/>
      <c r="F748" s="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2"/>
      <c r="F749" s="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2"/>
      <c r="F750" s="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2"/>
      <c r="F751" s="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2"/>
      <c r="F752" s="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2"/>
      <c r="F753" s="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2"/>
      <c r="F754" s="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2"/>
      <c r="F755" s="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2"/>
      <c r="F756" s="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2"/>
      <c r="F757" s="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2"/>
      <c r="F758" s="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2"/>
      <c r="F759" s="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2"/>
      <c r="F760" s="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2"/>
      <c r="F761" s="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2"/>
      <c r="F762" s="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2"/>
      <c r="F763" s="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2"/>
      <c r="F764" s="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2"/>
      <c r="F765" s="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2"/>
      <c r="F766" s="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2"/>
      <c r="F767" s="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2"/>
      <c r="F768" s="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2"/>
      <c r="F769" s="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2"/>
      <c r="F770" s="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2"/>
      <c r="F771" s="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2"/>
      <c r="F772" s="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2"/>
      <c r="F773" s="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2"/>
      <c r="F774" s="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2"/>
      <c r="F775" s="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2"/>
      <c r="F776" s="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2"/>
      <c r="F777" s="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2"/>
      <c r="F778" s="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2"/>
      <c r="F779" s="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2"/>
      <c r="F780" s="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2"/>
      <c r="F781" s="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2"/>
      <c r="F782" s="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2"/>
      <c r="F783" s="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2"/>
      <c r="F784" s="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2"/>
      <c r="F785" s="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2"/>
      <c r="F786" s="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2"/>
      <c r="F787" s="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2"/>
      <c r="F788" s="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2"/>
      <c r="F789" s="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2"/>
      <c r="F790" s="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2"/>
      <c r="F791" s="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2"/>
      <c r="F792" s="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2"/>
      <c r="F793" s="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2"/>
      <c r="F794" s="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2"/>
      <c r="F795" s="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2"/>
      <c r="F796" s="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2"/>
      <c r="F797" s="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2"/>
      <c r="F798" s="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2"/>
      <c r="F799" s="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2"/>
      <c r="F800" s="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2"/>
      <c r="F801" s="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2"/>
      <c r="F802" s="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2"/>
      <c r="F803" s="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2"/>
      <c r="F804" s="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2"/>
      <c r="F805" s="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2"/>
      <c r="F806" s="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2"/>
      <c r="F807" s="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2"/>
      <c r="F808" s="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2"/>
      <c r="F809" s="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2"/>
      <c r="F810" s="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2"/>
      <c r="F811" s="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2"/>
      <c r="F812" s="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2"/>
      <c r="F813" s="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2"/>
      <c r="F814" s="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2"/>
      <c r="F815" s="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2"/>
      <c r="F816" s="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2"/>
      <c r="F817" s="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2"/>
      <c r="F818" s="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2"/>
      <c r="F819" s="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2"/>
      <c r="F820" s="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2"/>
      <c r="F821" s="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2"/>
      <c r="F822" s="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2"/>
      <c r="F823" s="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2"/>
      <c r="F824" s="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2"/>
      <c r="F825" s="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2"/>
      <c r="F826" s="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2"/>
      <c r="F827" s="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2"/>
      <c r="F828" s="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2"/>
      <c r="F829" s="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2"/>
      <c r="F830" s="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2"/>
      <c r="F831" s="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2"/>
      <c r="F832" s="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2"/>
      <c r="F833" s="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2"/>
      <c r="F834" s="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2"/>
      <c r="F835" s="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2"/>
      <c r="F836" s="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2"/>
      <c r="F837" s="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2"/>
      <c r="F838" s="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2"/>
      <c r="F839" s="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2"/>
      <c r="F840" s="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2"/>
      <c r="F841" s="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2"/>
      <c r="F842" s="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2"/>
      <c r="F843" s="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2"/>
      <c r="F844" s="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2"/>
      <c r="F845" s="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2"/>
      <c r="F846" s="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2"/>
      <c r="F847" s="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2"/>
      <c r="F848" s="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2"/>
      <c r="F849" s="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2"/>
      <c r="F850" s="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2"/>
      <c r="F851" s="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2"/>
      <c r="F852" s="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2"/>
      <c r="F853" s="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2"/>
      <c r="F854" s="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2"/>
      <c r="F855" s="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2"/>
      <c r="F856" s="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2"/>
      <c r="F857" s="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2"/>
      <c r="F858" s="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2"/>
      <c r="F859" s="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2"/>
      <c r="F860" s="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2"/>
      <c r="F861" s="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2"/>
      <c r="F862" s="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2"/>
      <c r="F863" s="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2"/>
      <c r="F864" s="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2"/>
      <c r="F865" s="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2"/>
      <c r="F866" s="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2"/>
      <c r="F867" s="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2"/>
      <c r="F868" s="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2"/>
      <c r="F869" s="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2"/>
      <c r="F870" s="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2"/>
      <c r="F871" s="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2"/>
      <c r="F872" s="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2"/>
      <c r="F873" s="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2"/>
      <c r="F874" s="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2"/>
      <c r="F875" s="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2"/>
      <c r="F876" s="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2"/>
      <c r="F877" s="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2"/>
      <c r="F878" s="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2"/>
      <c r="F879" s="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2"/>
      <c r="F880" s="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2"/>
      <c r="F881" s="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2"/>
      <c r="F882" s="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2"/>
      <c r="F883" s="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2"/>
      <c r="F884" s="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2"/>
      <c r="F885" s="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2"/>
      <c r="F886" s="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2"/>
      <c r="F887" s="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2"/>
      <c r="F888" s="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2"/>
      <c r="F889" s="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2"/>
      <c r="F890" s="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2"/>
      <c r="F891" s="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2"/>
      <c r="F892" s="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2"/>
      <c r="F893" s="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2"/>
      <c r="F894" s="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2"/>
      <c r="F895" s="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2"/>
      <c r="F896" s="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2"/>
      <c r="F897" s="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2"/>
      <c r="F898" s="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2"/>
      <c r="F899" s="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2"/>
      <c r="F900" s="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2"/>
      <c r="F901" s="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2"/>
      <c r="F902" s="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2"/>
      <c r="F903" s="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2"/>
      <c r="F904" s="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2"/>
      <c r="F905" s="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2"/>
      <c r="F906" s="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2"/>
      <c r="F907" s="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2"/>
      <c r="F908" s="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2"/>
      <c r="F909" s="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2"/>
      <c r="F910" s="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2"/>
      <c r="F911" s="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2"/>
      <c r="F912" s="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2"/>
      <c r="F913" s="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2"/>
      <c r="F914" s="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2"/>
      <c r="F915" s="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2"/>
      <c r="F916" s="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2"/>
      <c r="F917" s="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2"/>
      <c r="F918" s="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2"/>
      <c r="F919" s="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2"/>
      <c r="F920" s="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2"/>
      <c r="F921" s="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2"/>
      <c r="F922" s="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2"/>
      <c r="F923" s="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2"/>
      <c r="F924" s="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2"/>
      <c r="F925" s="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2"/>
      <c r="F926" s="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2"/>
      <c r="F927" s="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2"/>
      <c r="F928" s="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2"/>
      <c r="F929" s="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2"/>
      <c r="F930" s="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2"/>
      <c r="F931" s="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2"/>
      <c r="F932" s="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2"/>
      <c r="F933" s="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2"/>
      <c r="F934" s="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2"/>
      <c r="F935" s="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2"/>
      <c r="F936" s="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2"/>
      <c r="F937" s="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2"/>
      <c r="F938" s="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2"/>
      <c r="F939" s="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2"/>
      <c r="F940" s="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2"/>
      <c r="F941" s="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2"/>
      <c r="F942" s="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2"/>
      <c r="F943" s="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2"/>
      <c r="F944" s="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2"/>
      <c r="F945" s="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2"/>
      <c r="F946" s="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2"/>
      <c r="F947" s="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2"/>
      <c r="F948" s="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2"/>
      <c r="F949" s="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2"/>
      <c r="F950" s="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2"/>
      <c r="F951" s="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2"/>
      <c r="F952" s="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2"/>
      <c r="F953" s="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2"/>
      <c r="F954" s="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2"/>
      <c r="F955" s="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2"/>
      <c r="F956" s="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2"/>
      <c r="F957" s="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2"/>
      <c r="F958" s="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2"/>
      <c r="F959" s="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2"/>
      <c r="F960" s="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2"/>
      <c r="F961" s="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2"/>
      <c r="F962" s="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2"/>
      <c r="F963" s="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2"/>
      <c r="F964" s="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2"/>
      <c r="F965" s="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2"/>
      <c r="F966" s="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2"/>
      <c r="F967" s="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2"/>
      <c r="F968" s="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2"/>
      <c r="F969" s="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2"/>
      <c r="F970" s="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2"/>
      <c r="F971" s="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2"/>
      <c r="F972" s="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2"/>
      <c r="F973" s="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2"/>
      <c r="F974" s="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2"/>
      <c r="F975" s="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2"/>
      <c r="F976" s="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2"/>
      <c r="F977" s="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2"/>
      <c r="F978" s="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2"/>
      <c r="F979" s="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2"/>
      <c r="F980" s="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2"/>
      <c r="F981" s="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2"/>
      <c r="F982" s="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2"/>
      <c r="F983" s="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2"/>
      <c r="F984" s="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2"/>
      <c r="F985" s="3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2"/>
      <c r="F986" s="3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2"/>
      <c r="F987" s="3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2"/>
      <c r="F988" s="3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2"/>
      <c r="F989" s="3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2"/>
      <c r="F990" s="3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2"/>
      <c r="F991" s="3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2"/>
      <c r="F992" s="3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2"/>
      <c r="F993" s="3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2"/>
      <c r="F994" s="3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2"/>
      <c r="F995" s="3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2"/>
      <c r="F996" s="3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2"/>
      <c r="F997" s="3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2"/>
      <c r="F998" s="3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2"/>
      <c r="F999" s="3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drawing r:id="rId1"/>
</worksheet>
</file>